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ish\Downloads\"/>
    </mc:Choice>
  </mc:AlternateContent>
  <xr:revisionPtr revIDLastSave="0" documentId="8_{716D4ADA-A1F9-440C-BF87-BCBBF102BD0F}" xr6:coauthVersionLast="47" xr6:coauthVersionMax="47" xr10:uidLastSave="{00000000-0000-0000-0000-000000000000}"/>
  <bookViews>
    <workbookView xWindow="-108" yWindow="-108" windowWidth="23256" windowHeight="13176" activeTab="3" xr2:uid="{56AFA625-EC4C-4FEB-B91E-9B9D0212BCBA}"/>
  </bookViews>
  <sheets>
    <sheet name="Employee_Master" sheetId="1" r:id="rId1"/>
    <sheet name="Shift_Log_Engine" sheetId="2" r:id="rId2"/>
    <sheet name="Labor_Cost_Forecaster" sheetId="3" r:id="rId3"/>
    <sheet name="Workforce_Analytics_Dashboar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8" i="3" l="1"/>
  <c r="D3" i="3"/>
  <c r="D4" i="3"/>
  <c r="D5" i="3"/>
  <c r="D6" i="3"/>
  <c r="D7" i="3"/>
  <c r="D2" i="3"/>
  <c r="C3" i="3"/>
  <c r="C4" i="3"/>
  <c r="C5" i="3"/>
  <c r="C6" i="3"/>
  <c r="C7" i="3"/>
  <c r="C2" i="3"/>
  <c r="B3" i="3"/>
  <c r="B4" i="3"/>
  <c r="B5" i="3"/>
  <c r="B6" i="3"/>
  <c r="B7" i="3"/>
  <c r="B2" i="3"/>
  <c r="E3" i="4"/>
  <c r="F3" i="3"/>
  <c r="F4" i="3"/>
  <c r="F5" i="3"/>
  <c r="F6" i="3"/>
  <c r="F7" i="3"/>
  <c r="F2" i="3"/>
  <c r="F8" i="3" s="1"/>
  <c r="E3" i="3"/>
  <c r="E4" i="3"/>
  <c r="E5" i="3"/>
  <c r="E6" i="3"/>
  <c r="E7" i="3"/>
  <c r="E2" i="3"/>
  <c r="E8" i="3" s="1"/>
  <c r="I3" i="2"/>
  <c r="I4" i="2"/>
  <c r="I5" i="2"/>
  <c r="I6" i="2"/>
  <c r="I7" i="2"/>
  <c r="I2" i="2"/>
  <c r="H3" i="2"/>
  <c r="H4" i="2"/>
  <c r="H5" i="2"/>
  <c r="H6" i="2"/>
  <c r="H7" i="2"/>
  <c r="H2" i="2"/>
  <c r="G3" i="2"/>
  <c r="G4" i="2"/>
  <c r="G5" i="2"/>
  <c r="G6" i="2"/>
  <c r="G7" i="2"/>
  <c r="G2" i="2"/>
  <c r="G2" i="3" l="1"/>
  <c r="H2" i="3"/>
  <c r="C7" i="4" s="1"/>
  <c r="H3" i="3"/>
  <c r="G3" i="3"/>
  <c r="G4" i="3"/>
  <c r="H4" i="3"/>
  <c r="H5" i="3"/>
  <c r="G5" i="3"/>
  <c r="H6" i="3"/>
  <c r="G6" i="3"/>
  <c r="I6" i="3" s="1"/>
  <c r="H7" i="3"/>
  <c r="G7" i="3"/>
  <c r="I7" i="3" s="1"/>
  <c r="C9" i="4"/>
  <c r="B7" i="4" l="1"/>
  <c r="D7" i="4" s="1"/>
  <c r="G8" i="3"/>
  <c r="I2" i="3"/>
  <c r="C3" i="4" s="1"/>
  <c r="H8" i="3"/>
  <c r="I3" i="3"/>
  <c r="B8" i="4"/>
  <c r="I4" i="3"/>
  <c r="B9" i="4"/>
  <c r="D9" i="4" s="1"/>
  <c r="I5" i="3"/>
  <c r="C8" i="4"/>
  <c r="A3" i="4" l="1"/>
  <c r="I8" i="3"/>
  <c r="D8" i="4"/>
</calcChain>
</file>

<file path=xl/sharedStrings.xml><?xml version="1.0" encoding="utf-8"?>
<sst xmlns="http://schemas.openxmlformats.org/spreadsheetml/2006/main" count="84" uniqueCount="61">
  <si>
    <t>Employee_ID</t>
  </si>
  <si>
    <t xml:space="preserve"> Employee_Name</t>
  </si>
  <si>
    <t xml:space="preserve"> Department</t>
  </si>
  <si>
    <t xml:space="preserve"> Role</t>
  </si>
  <si>
    <t xml:space="preserve"> Hourly_Base_Rate</t>
  </si>
  <si>
    <t xml:space="preserve"> Standard_Hours_Per_Day</t>
  </si>
  <si>
    <t>Employee_Name</t>
  </si>
  <si>
    <t>Department</t>
  </si>
  <si>
    <t>Hourly_Base_Rate</t>
  </si>
  <si>
    <t>Total_Regular_Hours</t>
  </si>
  <si>
    <t>Total_OT_Hours</t>
  </si>
  <si>
    <t>Regular_Payroll_Cost</t>
  </si>
  <si>
    <t>Overtime_Payroll_Cost</t>
  </si>
  <si>
    <t>Total_Payroll_Liability</t>
  </si>
  <si>
    <t>EMP-106</t>
  </si>
  <si>
    <t>James Wilson</t>
  </si>
  <si>
    <t>Warehouse</t>
  </si>
  <si>
    <t>Loader</t>
  </si>
  <si>
    <t>EMP-101</t>
  </si>
  <si>
    <t>Sarah Jenkins</t>
  </si>
  <si>
    <t>Operations</t>
  </si>
  <si>
    <t>Shift Lead</t>
  </si>
  <si>
    <t>EMP-102</t>
  </si>
  <si>
    <t>Marcus Chen</t>
  </si>
  <si>
    <t>Logistics</t>
  </si>
  <si>
    <t>Coordinator</t>
  </si>
  <si>
    <t>EMP-103</t>
  </si>
  <si>
    <t>Elena Rostova</t>
  </si>
  <si>
    <t>Specialist</t>
  </si>
  <si>
    <t>EMP-104</t>
  </si>
  <si>
    <t>David Miller</t>
  </si>
  <si>
    <t>Senior Analyst</t>
  </si>
  <si>
    <t>EMP-105</t>
  </si>
  <si>
    <t>Priya Sharma</t>
  </si>
  <si>
    <t>Inventory Tech</t>
  </si>
  <si>
    <t xml:space="preserve">Log_ID </t>
  </si>
  <si>
    <t xml:space="preserve"> Date </t>
  </si>
  <si>
    <t xml:space="preserve"> Employee_ID </t>
  </si>
  <si>
    <t xml:space="preserve"> Scheduled_Hours </t>
  </si>
  <si>
    <t xml:space="preserve"> Actual_Hours </t>
  </si>
  <si>
    <t xml:space="preserve"> Absent_Flag </t>
  </si>
  <si>
    <t xml:space="preserve"> Regular_Hours </t>
  </si>
  <si>
    <t xml:space="preserve"> Overtime_Hours </t>
  </si>
  <si>
    <t xml:space="preserve"> Absence_Impact</t>
  </si>
  <si>
    <t>LOG-1001</t>
  </si>
  <si>
    <t>No</t>
  </si>
  <si>
    <t>LOG-1002</t>
  </si>
  <si>
    <t>LOG-1003</t>
  </si>
  <si>
    <t>Yes</t>
  </si>
  <si>
    <t>LOG-1004</t>
  </si>
  <si>
    <t>LOG-1005</t>
  </si>
  <si>
    <t>LOG-1006</t>
  </si>
  <si>
    <t>EXECUTIVE WORKFORCE CAPACITY &amp; LABOR COST DASHBOARD</t>
  </si>
  <si>
    <t>TOTAL</t>
  </si>
  <si>
    <t>Total Payroll Expenditure</t>
  </si>
  <si>
    <t>Overtime Leakage Ratio</t>
  </si>
  <si>
    <t>Workforce Utilization Rate</t>
  </si>
  <si>
    <t xml:space="preserve">Department </t>
  </si>
  <si>
    <t xml:space="preserve"> Regular Cost </t>
  </si>
  <si>
    <t xml:space="preserve"> Overtime Cost </t>
  </si>
  <si>
    <t xml:space="preserve"> 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</si>
</sst>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&quot;₹&quot;\ #,##0.00"/>
    <numFmt numFmtId="169" formatCode="0.0000000"/>
    <numFmt numFmtId="171" formatCode="[$$-2809]#,##0.00"/>
  </numFmts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 Unicode MS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/>
    <xf numFmtId="49" fontId="0" fillId="0" borderId="0" xfId="0" applyNumberFormat="1"/>
    <xf numFmtId="168" fontId="0" fillId="0" borderId="0" xfId="0" applyNumberFormat="1"/>
    <xf numFmtId="169" fontId="0" fillId="0" borderId="0" xfId="0" applyNumberFormat="1"/>
    <xf numFmtId="14" fontId="0" fillId="0" borderId="0" xfId="0" applyNumberFormat="1"/>
    <xf numFmtId="0" fontId="0" fillId="0" borderId="0" xfId="0" applyNumberFormat="1"/>
    <xf numFmtId="2" fontId="0" fillId="0" borderId="0" xfId="0" applyNumberFormat="1"/>
    <xf numFmtId="171" fontId="0" fillId="0" borderId="0" xfId="0" applyNumberFormat="1"/>
    <xf numFmtId="0" fontId="0" fillId="0" borderId="0" xfId="0" applyAlignment="1">
      <alignment vertical="center"/>
    </xf>
    <xf numFmtId="10" fontId="0" fillId="0" borderId="0" xfId="0" applyNumberFormat="1" applyAlignment="1">
      <alignment vertical="center"/>
    </xf>
    <xf numFmtId="0" fontId="1" fillId="0" borderId="1" xfId="0" applyFont="1" applyBorder="1"/>
    <xf numFmtId="49" fontId="1" fillId="0" borderId="1" xfId="0" applyNumberFormat="1" applyFont="1" applyBorder="1"/>
    <xf numFmtId="168" fontId="1" fillId="0" borderId="1" xfId="0" applyNumberFormat="1" applyFont="1" applyBorder="1"/>
    <xf numFmtId="2" fontId="1" fillId="0" borderId="1" xfId="0" applyNumberFormat="1" applyFont="1" applyBorder="1"/>
    <xf numFmtId="171" fontId="1" fillId="0" borderId="1" xfId="0" applyNumberFormat="1" applyFont="1" applyBorder="1"/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14">
    <dxf>
      <numFmt numFmtId="171" formatCode="[$$-2809]#,##0.00"/>
    </dxf>
    <dxf>
      <numFmt numFmtId="171" formatCode="[$$-2809]#,##0.00"/>
    </dxf>
    <dxf>
      <numFmt numFmtId="171" formatCode="[$$-2809]#,##0.00"/>
    </dxf>
    <dxf>
      <numFmt numFmtId="171" formatCode="[$$-2809]#,##0.00"/>
    </dxf>
    <dxf>
      <numFmt numFmtId="0" formatCode="General"/>
    </dxf>
    <dxf>
      <numFmt numFmtId="0" formatCode="General"/>
    </dxf>
    <dxf>
      <numFmt numFmtId="19" formatCode="dd/mm/yyyy"/>
    </dxf>
    <dxf>
      <numFmt numFmtId="168" formatCode="&quot;₹&quot;\ #,##0.00"/>
    </dxf>
    <dxf>
      <numFmt numFmtId="171" formatCode="[$$-2809]#,##0.00"/>
    </dxf>
    <dxf>
      <numFmt numFmtId="171" formatCode="[$$-2809]#,##0.00"/>
    </dxf>
    <dxf>
      <numFmt numFmtId="171" formatCode="[$$-2809]#,##0.00"/>
    </dxf>
    <dxf>
      <numFmt numFmtId="2" formatCode="0.00"/>
    </dxf>
    <dxf>
      <numFmt numFmtId="0" formatCode="General"/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E21F171-0AE8-4D2E-9D09-48799FE2E039}" name="Table3" displayName="Table3" ref="A1:F7" totalsRowShown="0">
  <autoFilter ref="A1:F7" xr:uid="{CE21F171-0AE8-4D2E-9D09-48799FE2E039}"/>
  <tableColumns count="6">
    <tableColumn id="1" xr3:uid="{8C5CFF4E-DE02-4C07-9AB9-2AE46C709871}" name="Employee_ID"/>
    <tableColumn id="2" xr3:uid="{A1E1A288-8EA8-413C-8B02-09326F87E8D3}" name=" Employee_Name"/>
    <tableColumn id="3" xr3:uid="{EA6C4062-8426-42C3-BD68-0969DC1B8514}" name=" Department"/>
    <tableColumn id="4" xr3:uid="{FCF0239C-2CDB-49B4-A0C9-8DC320837916}" name=" Role"/>
    <tableColumn id="5" xr3:uid="{F8CCF282-961D-42F0-89CB-106B6154DA46}" name=" Hourly_Base_Rate"/>
    <tableColumn id="6" xr3:uid="{DF4F85B1-89D4-40BA-816F-456E466655EB}" name=" Standard_Hours_Per_Day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E746639-1018-4036-975A-5F831B4D9B6B}" name="Table4" displayName="Table4" ref="A1:I7" totalsRowShown="0">
  <autoFilter ref="A1:I7" xr:uid="{4E746639-1018-4036-975A-5F831B4D9B6B}"/>
  <tableColumns count="9">
    <tableColumn id="1" xr3:uid="{05C63752-F0A7-43F8-AF7F-3DFE271DCD7A}" name="Log_ID "/>
    <tableColumn id="2" xr3:uid="{A3FB4D54-C879-464D-B496-A18BEB56F6C7}" name=" Date " dataDxfId="6"/>
    <tableColumn id="3" xr3:uid="{DE968BD7-F285-4F87-8FA5-53DD9EEEF2B2}" name=" Employee_ID "/>
    <tableColumn id="4" xr3:uid="{01F3C9CA-ACE3-43DF-9795-3D4CC29DDCDE}" name=" Scheduled_Hours "/>
    <tableColumn id="5" xr3:uid="{1C850BB7-D5F2-423E-BA61-7DA8282A374D}" name=" Actual_Hours "/>
    <tableColumn id="6" xr3:uid="{15068D92-2473-4D90-8C5F-FC9569900251}" name=" Absent_Flag "/>
    <tableColumn id="7" xr3:uid="{D3E63126-1D8F-47C7-A5AD-FC41AD40A615}" name=" Regular_Hours ">
      <calculatedColumnFormula>IF(F2="Yes", 0, MIN(D2, E2))</calculatedColumnFormula>
    </tableColumn>
    <tableColumn id="8" xr3:uid="{A5F7D681-4D6A-40D5-9F72-251B3B542431}" name=" Overtime_Hours ">
      <calculatedColumnFormula>IF(F2="Yes", 0, MAX(0, E2 - D2))</calculatedColumnFormula>
    </tableColumn>
    <tableColumn id="9" xr3:uid="{8A6C614D-E80B-45C9-A951-9C764B3B6DC6}" name=" Absence_Impact">
      <calculatedColumnFormula>IF(F2="Yes", 1, 0)</calculatedColumnFormula>
    </tableColumn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B8C840-694A-4F0F-8859-A44A73689F58}" name="Table2" displayName="Table2" ref="A1:I7" totalsRowShown="0" headerRowDxfId="7" tableBorderDxfId="13">
  <autoFilter ref="A1:I7" xr:uid="{8DB8C840-694A-4F0F-8859-A44A73689F58}"/>
  <tableColumns count="9">
    <tableColumn id="1" xr3:uid="{E0AA52D8-AF10-440F-A881-D4941CB8BBC1}" name="Employee_ID"/>
    <tableColumn id="2" xr3:uid="{CD2E6042-7636-408F-A57B-E39F10193D8B}" name="Employee_Name" dataDxfId="5">
      <calculatedColumnFormula>_xlfn.XLOOKUP(A2, Employee_Master!$A$2:$A$7, Employee_Master!$B$2:$B$7, "Unknown")</calculatedColumnFormula>
    </tableColumn>
    <tableColumn id="3" xr3:uid="{DC1174F1-DD9F-481D-875D-12B5ABD15FA0}" name="Department" dataDxfId="4">
      <calculatedColumnFormula>_xlfn.XLOOKUP(A2, Employee_Master!$A$2:$A$7, Employee_Master!$C$2:$C$7, "N/A")</calculatedColumnFormula>
    </tableColumn>
    <tableColumn id="4" xr3:uid="{980107E6-13B6-4CEC-A454-1F21B37E1C17}" name="Hourly_Base_Rate" dataDxfId="3">
      <calculatedColumnFormula>_xlfn.XLOOKUP(A2, Employee_Master!$A$2:$A$7, Employee_Master!$E$2:$E$7, 0)</calculatedColumnFormula>
    </tableColumn>
    <tableColumn id="5" xr3:uid="{25FD6FD5-1938-4184-AE1F-73BE74AB74CF}" name="Total_Regular_Hours" dataDxfId="12">
      <calculatedColumnFormula>SUMIF(Shift_Log_Engine!$C$2:$C$50, A2, Shift_Log_Engine!$G$2:$G$50)</calculatedColumnFormula>
    </tableColumn>
    <tableColumn id="6" xr3:uid="{90330BD9-6D2E-44D4-9F8D-0FE9365AD4AA}" name="Total_OT_Hours" dataDxfId="11">
      <calculatedColumnFormula>SUMIF(Shift_Log_Engine!$C$2:$C$50, A2, Shift_Log_Engine!$H$2:$H$50)</calculatedColumnFormula>
    </tableColumn>
    <tableColumn id="7" xr3:uid="{53836EC8-0A37-4B42-91E2-F2345D1E8855}" name="Regular_Payroll_Cost" dataDxfId="10">
      <calculatedColumnFormula>E2 * D2</calculatedColumnFormula>
    </tableColumn>
    <tableColumn id="8" xr3:uid="{0D4E2DF8-65BB-43DD-82F8-15F549C79CB0}" name="Overtime_Payroll_Cost" dataDxfId="9">
      <calculatedColumnFormula>F2 * D2 * 1.5</calculatedColumnFormula>
    </tableColumn>
    <tableColumn id="9" xr3:uid="{9E5535B2-3994-4997-AE81-DA7548BCA064}" name="Total_Payroll_Liability" dataDxfId="8">
      <calculatedColumnFormula>G2 + H2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284C1B-2462-4819-8B0A-B0389D7F9543}" name="Table1" displayName="Table1" ref="A6:D9" totalsRowShown="0">
  <autoFilter ref="A6:D9" xr:uid="{93284C1B-2462-4819-8B0A-B0389D7F9543}"/>
  <tableColumns count="4">
    <tableColumn id="1" xr3:uid="{E80036D2-1456-4297-8218-2CF0ED19C5C0}" name="Department "/>
    <tableColumn id="2" xr3:uid="{3E725441-A286-4880-A617-3628F9C57238}" name=" Regular Cost " dataDxfId="2">
      <calculatedColumnFormula>SUMIF(Labor_Cost_Forecaster!$C$2:$C$7, A7, Labor_Cost_Forecaster!$G$2:$G$7)</calculatedColumnFormula>
    </tableColumn>
    <tableColumn id="3" xr3:uid="{4699F1F5-C573-482D-B566-65A40243463D}" name=" Overtime Cost " dataDxfId="1">
      <calculatedColumnFormula>SUMIF(Labor_Cost_Forecaster!$C$2:$C$7, A7, Labor_Cost_Forecaster!$H$2:$H$7)</calculatedColumnFormula>
    </tableColumn>
    <tableColumn id="4" xr3:uid="{F362CB46-42A8-495B-8D90-DCBAB1E7A157}" name=" Total Cost" dataDxfId="0">
      <calculatedColumnFormula>B7 + C7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F9250-35C7-46CA-8630-4E280D30085D}">
  <dimension ref="A1:F7"/>
  <sheetViews>
    <sheetView workbookViewId="0">
      <selection activeCell="H11" sqref="H11"/>
    </sheetView>
  </sheetViews>
  <sheetFormatPr defaultRowHeight="14.4"/>
  <cols>
    <col min="1" max="1" width="14.109375" customWidth="1"/>
    <col min="2" max="2" width="17.21875" customWidth="1"/>
    <col min="3" max="3" width="13.21875" customWidth="1"/>
    <col min="4" max="4" width="12.44140625" bestFit="1" customWidth="1"/>
    <col min="5" max="5" width="18" customWidth="1"/>
    <col min="6" max="6" width="24" customWidth="1"/>
  </cols>
  <sheetData>
    <row r="1" spans="1: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18</v>
      </c>
      <c r="B2" t="s">
        <v>19</v>
      </c>
      <c r="C2" t="s">
        <v>20</v>
      </c>
      <c r="D2" t="s">
        <v>21</v>
      </c>
      <c r="E2">
        <v>32.5</v>
      </c>
      <c r="F2">
        <v>8</v>
      </c>
    </row>
    <row r="3" spans="1:6">
      <c r="A3" t="s">
        <v>22</v>
      </c>
      <c r="B3" t="s">
        <v>23</v>
      </c>
      <c r="C3" t="s">
        <v>24</v>
      </c>
      <c r="D3" t="s">
        <v>25</v>
      </c>
      <c r="E3">
        <v>24</v>
      </c>
      <c r="F3">
        <v>8</v>
      </c>
    </row>
    <row r="4" spans="1:6">
      <c r="A4" t="s">
        <v>26</v>
      </c>
      <c r="B4" t="s">
        <v>27</v>
      </c>
      <c r="C4" t="s">
        <v>16</v>
      </c>
      <c r="D4" t="s">
        <v>28</v>
      </c>
      <c r="E4">
        <v>21</v>
      </c>
      <c r="F4">
        <v>8</v>
      </c>
    </row>
    <row r="5" spans="1:6">
      <c r="A5" t="s">
        <v>29</v>
      </c>
      <c r="B5" t="s">
        <v>30</v>
      </c>
      <c r="C5" t="s">
        <v>20</v>
      </c>
      <c r="D5" t="s">
        <v>31</v>
      </c>
      <c r="E5">
        <v>38</v>
      </c>
      <c r="F5">
        <v>8</v>
      </c>
    </row>
    <row r="6" spans="1:6">
      <c r="A6" t="s">
        <v>32</v>
      </c>
      <c r="B6" t="s">
        <v>33</v>
      </c>
      <c r="C6" t="s">
        <v>24</v>
      </c>
      <c r="D6" t="s">
        <v>34</v>
      </c>
      <c r="E6">
        <v>22.5</v>
      </c>
      <c r="F6">
        <v>8</v>
      </c>
    </row>
    <row r="7" spans="1:6">
      <c r="A7" t="s">
        <v>14</v>
      </c>
      <c r="B7" t="s">
        <v>15</v>
      </c>
      <c r="C7" t="s">
        <v>16</v>
      </c>
      <c r="D7" t="s">
        <v>17</v>
      </c>
      <c r="E7">
        <v>19.5</v>
      </c>
      <c r="F7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2B747-E813-43B4-A46E-C632C50AE710}">
  <dimension ref="A1:I7"/>
  <sheetViews>
    <sheetView workbookViewId="0">
      <selection activeCell="G19" sqref="G19"/>
    </sheetView>
  </sheetViews>
  <sheetFormatPr defaultRowHeight="14.4"/>
  <cols>
    <col min="1" max="1" width="9.5546875" customWidth="1"/>
    <col min="2" max="2" width="10.33203125" bestFit="1" customWidth="1"/>
    <col min="3" max="3" width="14.33203125" customWidth="1"/>
    <col min="4" max="4" width="18.109375" customWidth="1"/>
    <col min="5" max="5" width="14.5546875" customWidth="1"/>
    <col min="6" max="6" width="13.5546875" customWidth="1"/>
    <col min="7" max="7" width="15.44140625" customWidth="1"/>
    <col min="8" max="8" width="17" customWidth="1"/>
    <col min="9" max="9" width="17.109375" customWidth="1"/>
  </cols>
  <sheetData>
    <row r="1" spans="1:9">
      <c r="A1" s="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</row>
    <row r="2" spans="1:9">
      <c r="A2" t="s">
        <v>44</v>
      </c>
      <c r="B2" s="5">
        <v>46296</v>
      </c>
      <c r="C2" t="s">
        <v>18</v>
      </c>
      <c r="D2">
        <v>8</v>
      </c>
      <c r="E2">
        <v>10</v>
      </c>
      <c r="F2" t="s">
        <v>45</v>
      </c>
      <c r="G2">
        <f>IF(F2="Yes", 0, MIN(D2, E2))</f>
        <v>8</v>
      </c>
      <c r="H2">
        <f>IF(F2="Yes", 0, MAX(0, E2 - D2))</f>
        <v>2</v>
      </c>
      <c r="I2">
        <f>IF(F2="Yes", 1, 0)</f>
        <v>0</v>
      </c>
    </row>
    <row r="3" spans="1:9">
      <c r="A3" t="s">
        <v>46</v>
      </c>
      <c r="B3" s="5">
        <v>46296</v>
      </c>
      <c r="C3" t="s">
        <v>22</v>
      </c>
      <c r="D3">
        <v>8</v>
      </c>
      <c r="E3">
        <v>8</v>
      </c>
      <c r="F3" t="s">
        <v>45</v>
      </c>
      <c r="G3">
        <f t="shared" ref="G3:G7" si="0">IF(F3="Yes", 0, MIN(D3, E3))</f>
        <v>8</v>
      </c>
      <c r="H3">
        <f t="shared" ref="H3:H7" si="1">IF(F3="Yes", 0, MAX(0, E3 - D3))</f>
        <v>0</v>
      </c>
      <c r="I3">
        <f t="shared" ref="I3:I7" si="2">IF(F3="Yes", 1, 0)</f>
        <v>0</v>
      </c>
    </row>
    <row r="4" spans="1:9">
      <c r="A4" t="s">
        <v>47</v>
      </c>
      <c r="B4" s="5">
        <v>46296</v>
      </c>
      <c r="C4" t="s">
        <v>26</v>
      </c>
      <c r="D4">
        <v>8</v>
      </c>
      <c r="E4">
        <v>0</v>
      </c>
      <c r="F4" t="s">
        <v>48</v>
      </c>
      <c r="G4">
        <f t="shared" si="0"/>
        <v>0</v>
      </c>
      <c r="H4">
        <f t="shared" si="1"/>
        <v>0</v>
      </c>
      <c r="I4">
        <f t="shared" si="2"/>
        <v>1</v>
      </c>
    </row>
    <row r="5" spans="1:9">
      <c r="A5" t="s">
        <v>49</v>
      </c>
      <c r="B5" s="5">
        <v>46297</v>
      </c>
      <c r="C5" t="s">
        <v>29</v>
      </c>
      <c r="D5">
        <v>8</v>
      </c>
      <c r="E5">
        <v>9.5</v>
      </c>
      <c r="F5" t="s">
        <v>45</v>
      </c>
      <c r="G5">
        <f t="shared" si="0"/>
        <v>8</v>
      </c>
      <c r="H5">
        <f t="shared" si="1"/>
        <v>1.5</v>
      </c>
      <c r="I5">
        <f t="shared" si="2"/>
        <v>0</v>
      </c>
    </row>
    <row r="6" spans="1:9">
      <c r="A6" t="s">
        <v>50</v>
      </c>
      <c r="B6" s="5">
        <v>46297</v>
      </c>
      <c r="C6" t="s">
        <v>32</v>
      </c>
      <c r="D6">
        <v>8</v>
      </c>
      <c r="E6">
        <v>11</v>
      </c>
      <c r="F6" t="s">
        <v>45</v>
      </c>
      <c r="G6">
        <f t="shared" si="0"/>
        <v>8</v>
      </c>
      <c r="H6">
        <f t="shared" si="1"/>
        <v>3</v>
      </c>
      <c r="I6">
        <f t="shared" si="2"/>
        <v>0</v>
      </c>
    </row>
    <row r="7" spans="1:9">
      <c r="A7" t="s">
        <v>51</v>
      </c>
      <c r="B7" s="5">
        <v>46297</v>
      </c>
      <c r="C7" t="s">
        <v>14</v>
      </c>
      <c r="D7">
        <v>8</v>
      </c>
      <c r="E7">
        <v>8</v>
      </c>
      <c r="F7" t="s">
        <v>45</v>
      </c>
      <c r="G7">
        <f t="shared" si="0"/>
        <v>8</v>
      </c>
      <c r="H7">
        <f t="shared" si="1"/>
        <v>0</v>
      </c>
      <c r="I7">
        <f t="shared" si="2"/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0C551-BFDB-449E-9F52-1D8399C802DB}">
  <dimension ref="A1:I9"/>
  <sheetViews>
    <sheetView workbookViewId="0">
      <selection activeCell="D9" sqref="D9"/>
    </sheetView>
  </sheetViews>
  <sheetFormatPr defaultRowHeight="14.4"/>
  <cols>
    <col min="1" max="1" width="13.6640625" style="2" customWidth="1"/>
    <col min="2" max="2" width="16.88671875" style="2" customWidth="1"/>
    <col min="3" max="3" width="12.88671875" style="2" customWidth="1"/>
    <col min="4" max="4" width="17.6640625" style="3" customWidth="1"/>
    <col min="5" max="5" width="19.6640625" style="4" customWidth="1"/>
    <col min="6" max="6" width="15.6640625" style="4" customWidth="1"/>
    <col min="7" max="7" width="20.21875" style="3" customWidth="1"/>
    <col min="8" max="8" width="21.77734375" style="3" customWidth="1"/>
    <col min="9" max="9" width="21.109375" style="3" customWidth="1"/>
  </cols>
  <sheetData>
    <row r="1" spans="1:9">
      <c r="A1" s="2" t="s">
        <v>0</v>
      </c>
      <c r="B1" s="2" t="s">
        <v>6</v>
      </c>
      <c r="C1" s="2" t="s">
        <v>7</v>
      </c>
      <c r="D1" s="3" t="s">
        <v>8</v>
      </c>
      <c r="E1" s="4" t="s">
        <v>9</v>
      </c>
      <c r="F1" s="4" t="s">
        <v>10</v>
      </c>
      <c r="G1" s="3" t="s">
        <v>11</v>
      </c>
      <c r="H1" s="3" t="s">
        <v>12</v>
      </c>
      <c r="I1" s="3" t="s">
        <v>13</v>
      </c>
    </row>
    <row r="2" spans="1:9">
      <c r="A2" t="s">
        <v>18</v>
      </c>
      <c r="B2" s="6" t="str">
        <f>_xlfn.XLOOKUP(A2, Employee_Master!$A$2:$A$7, Employee_Master!$B$2:$B$7, "Unknown")</f>
        <v>Sarah Jenkins</v>
      </c>
      <c r="C2" s="6" t="str">
        <f>_xlfn.XLOOKUP(A2, Employee_Master!$A$2:$A$7, Employee_Master!$C$2:$C$7, "N/A")</f>
        <v>Operations</v>
      </c>
      <c r="D2" s="8">
        <f>_xlfn.XLOOKUP(A2, Employee_Master!$A$2:$A$7, Employee_Master!$E$2:$E$7, 0)</f>
        <v>32.5</v>
      </c>
      <c r="E2" s="6">
        <f>SUMIF(Shift_Log_Engine!$C$2:$C$50, A2, Shift_Log_Engine!$G$2:$G$50)</f>
        <v>8</v>
      </c>
      <c r="F2" s="7">
        <f>SUMIF(Shift_Log_Engine!$C$2:$C$50, A2, Shift_Log_Engine!$H$2:$H$50)</f>
        <v>2</v>
      </c>
      <c r="G2" s="8">
        <f>E2 * D2</f>
        <v>260</v>
      </c>
      <c r="H2" s="8">
        <f>F2 * D2 * 1.5</f>
        <v>97.5</v>
      </c>
      <c r="I2" s="8">
        <f>G2 + H2</f>
        <v>357.5</v>
      </c>
    </row>
    <row r="3" spans="1:9">
      <c r="A3" t="s">
        <v>22</v>
      </c>
      <c r="B3" s="6" t="str">
        <f>_xlfn.XLOOKUP(A3, Employee_Master!$A$2:$A$7, Employee_Master!$B$2:$B$7, "Unknown")</f>
        <v>Marcus Chen</v>
      </c>
      <c r="C3" s="6" t="str">
        <f>_xlfn.XLOOKUP(A3, Employee_Master!$A$2:$A$7, Employee_Master!$C$2:$C$7, "N/A")</f>
        <v>Logistics</v>
      </c>
      <c r="D3" s="8">
        <f>_xlfn.XLOOKUP(A3, Employee_Master!$A$2:$A$7, Employee_Master!$E$2:$E$7, 0)</f>
        <v>24</v>
      </c>
      <c r="E3" s="6">
        <f>SUMIF(Shift_Log_Engine!$C$2:$C$50, A3, Shift_Log_Engine!$G$2:$G$50)</f>
        <v>8</v>
      </c>
      <c r="F3" s="7">
        <f>SUMIF(Shift_Log_Engine!$C$2:$C$50, A3, Shift_Log_Engine!$H$2:$H$50)</f>
        <v>0</v>
      </c>
      <c r="G3" s="8">
        <f t="shared" ref="G3:G7" si="0">E3 * D3</f>
        <v>192</v>
      </c>
      <c r="H3" s="8">
        <f t="shared" ref="H3:H7" si="1">F3 * D3 * 1.5</f>
        <v>0</v>
      </c>
      <c r="I3" s="8">
        <f t="shared" ref="I3:I7" si="2">G3 + H3</f>
        <v>192</v>
      </c>
    </row>
    <row r="4" spans="1:9">
      <c r="A4" t="s">
        <v>26</v>
      </c>
      <c r="B4" s="6" t="str">
        <f>_xlfn.XLOOKUP(A4, Employee_Master!$A$2:$A$7, Employee_Master!$B$2:$B$7, "Unknown")</f>
        <v>Elena Rostova</v>
      </c>
      <c r="C4" s="6" t="str">
        <f>_xlfn.XLOOKUP(A4, Employee_Master!$A$2:$A$7, Employee_Master!$C$2:$C$7, "N/A")</f>
        <v>Warehouse</v>
      </c>
      <c r="D4" s="8">
        <f>_xlfn.XLOOKUP(A4, Employee_Master!$A$2:$A$7, Employee_Master!$E$2:$E$7, 0)</f>
        <v>21</v>
      </c>
      <c r="E4" s="6">
        <f>SUMIF(Shift_Log_Engine!$C$2:$C$50, A4, Shift_Log_Engine!$G$2:$G$50)</f>
        <v>0</v>
      </c>
      <c r="F4" s="7">
        <f>SUMIF(Shift_Log_Engine!$C$2:$C$50, A4, Shift_Log_Engine!$H$2:$H$50)</f>
        <v>0</v>
      </c>
      <c r="G4" s="8">
        <f t="shared" si="0"/>
        <v>0</v>
      </c>
      <c r="H4" s="8">
        <f t="shared" si="1"/>
        <v>0</v>
      </c>
      <c r="I4" s="8">
        <f t="shared" si="2"/>
        <v>0</v>
      </c>
    </row>
    <row r="5" spans="1:9">
      <c r="A5" t="s">
        <v>29</v>
      </c>
      <c r="B5" s="6" t="str">
        <f>_xlfn.XLOOKUP(A5, Employee_Master!$A$2:$A$7, Employee_Master!$B$2:$B$7, "Unknown")</f>
        <v>David Miller</v>
      </c>
      <c r="C5" s="6" t="str">
        <f>_xlfn.XLOOKUP(A5, Employee_Master!$A$2:$A$7, Employee_Master!$C$2:$C$7, "N/A")</f>
        <v>Operations</v>
      </c>
      <c r="D5" s="8">
        <f>_xlfn.XLOOKUP(A5, Employee_Master!$A$2:$A$7, Employee_Master!$E$2:$E$7, 0)</f>
        <v>38</v>
      </c>
      <c r="E5" s="6">
        <f>SUMIF(Shift_Log_Engine!$C$2:$C$50, A5, Shift_Log_Engine!$G$2:$G$50)</f>
        <v>8</v>
      </c>
      <c r="F5" s="7">
        <f>SUMIF(Shift_Log_Engine!$C$2:$C$50, A5, Shift_Log_Engine!$H$2:$H$50)</f>
        <v>1.5</v>
      </c>
      <c r="G5" s="8">
        <f t="shared" si="0"/>
        <v>304</v>
      </c>
      <c r="H5" s="8">
        <f t="shared" si="1"/>
        <v>85.5</v>
      </c>
      <c r="I5" s="8">
        <f t="shared" si="2"/>
        <v>389.5</v>
      </c>
    </row>
    <row r="6" spans="1:9">
      <c r="A6" t="s">
        <v>32</v>
      </c>
      <c r="B6" s="6" t="str">
        <f>_xlfn.XLOOKUP(A6, Employee_Master!$A$2:$A$7, Employee_Master!$B$2:$B$7, "Unknown")</f>
        <v>Priya Sharma</v>
      </c>
      <c r="C6" s="6" t="str">
        <f>_xlfn.XLOOKUP(A6, Employee_Master!$A$2:$A$7, Employee_Master!$C$2:$C$7, "N/A")</f>
        <v>Logistics</v>
      </c>
      <c r="D6" s="8">
        <f>_xlfn.XLOOKUP(A6, Employee_Master!$A$2:$A$7, Employee_Master!$E$2:$E$7, 0)</f>
        <v>22.5</v>
      </c>
      <c r="E6" s="6">
        <f>SUMIF(Shift_Log_Engine!$C$2:$C$50, A6, Shift_Log_Engine!$G$2:$G$50)</f>
        <v>8</v>
      </c>
      <c r="F6" s="7">
        <f>SUMIF(Shift_Log_Engine!$C$2:$C$50, A6, Shift_Log_Engine!$H$2:$H$50)</f>
        <v>3</v>
      </c>
      <c r="G6" s="8">
        <f t="shared" si="0"/>
        <v>180</v>
      </c>
      <c r="H6" s="8">
        <f t="shared" si="1"/>
        <v>101.25</v>
      </c>
      <c r="I6" s="8">
        <f t="shared" si="2"/>
        <v>281.25</v>
      </c>
    </row>
    <row r="7" spans="1:9">
      <c r="A7" t="s">
        <v>14</v>
      </c>
      <c r="B7" s="6" t="str">
        <f>_xlfn.XLOOKUP(A7, Employee_Master!$A$2:$A$7, Employee_Master!$B$2:$B$7, "Unknown")</f>
        <v>James Wilson</v>
      </c>
      <c r="C7" s="6" t="str">
        <f>_xlfn.XLOOKUP(A7, Employee_Master!$A$2:$A$7, Employee_Master!$C$2:$C$7, "N/A")</f>
        <v>Warehouse</v>
      </c>
      <c r="D7" s="8">
        <f>_xlfn.XLOOKUP(A7, Employee_Master!$A$2:$A$7, Employee_Master!$E$2:$E$7, 0)</f>
        <v>19.5</v>
      </c>
      <c r="E7" s="6">
        <f>SUMIF(Shift_Log_Engine!$C$2:$C$50, A7, Shift_Log_Engine!$G$2:$G$50)</f>
        <v>8</v>
      </c>
      <c r="F7" s="7">
        <f>SUMIF(Shift_Log_Engine!$C$2:$C$50, A7, Shift_Log_Engine!$H$2:$H$50)</f>
        <v>0</v>
      </c>
      <c r="G7" s="8">
        <f t="shared" si="0"/>
        <v>156</v>
      </c>
      <c r="H7" s="8">
        <f t="shared" si="1"/>
        <v>0</v>
      </c>
      <c r="I7" s="8">
        <f t="shared" si="2"/>
        <v>156</v>
      </c>
    </row>
    <row r="8" spans="1:9" ht="15" thickBot="1">
      <c r="A8" s="11" t="s">
        <v>53</v>
      </c>
      <c r="B8" s="12"/>
      <c r="C8" s="12"/>
      <c r="D8" s="13">
        <f>SUM(D2:D7)</f>
        <v>157.5</v>
      </c>
      <c r="E8" s="11">
        <f>SUM(E2:E7)</f>
        <v>40</v>
      </c>
      <c r="F8" s="14">
        <f>SUM(F2:F7)</f>
        <v>6.5</v>
      </c>
      <c r="G8" s="15">
        <f>SUM(G2:G7)</f>
        <v>1092</v>
      </c>
      <c r="H8" s="15">
        <f>SUM(H2:H7)</f>
        <v>284.25</v>
      </c>
      <c r="I8" s="15">
        <f>SUM(I2:I7)</f>
        <v>1376.25</v>
      </c>
    </row>
    <row r="9" spans="1:9" ht="15" thickTop="1"/>
  </sheetData>
  <phoneticPr fontId="4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E33DD-765B-4644-BF18-7DADF90B733F}">
  <dimension ref="A1:F14"/>
  <sheetViews>
    <sheetView tabSelected="1" workbookViewId="0">
      <selection activeCell="F12" sqref="F12"/>
    </sheetView>
  </sheetViews>
  <sheetFormatPr defaultRowHeight="14.4"/>
  <cols>
    <col min="1" max="1" width="20.6640625" bestFit="1" customWidth="1"/>
    <col min="2" max="6" width="20.6640625" customWidth="1"/>
  </cols>
  <sheetData>
    <row r="1" spans="1:6" ht="72.599999999999994" customHeight="1">
      <c r="A1" s="16" t="s">
        <v>52</v>
      </c>
      <c r="B1" s="16"/>
      <c r="C1" s="16"/>
      <c r="D1" s="16"/>
      <c r="E1" s="16"/>
      <c r="F1" s="16"/>
    </row>
    <row r="2" spans="1:6">
      <c r="A2" s="17" t="s">
        <v>54</v>
      </c>
      <c r="B2" s="17"/>
      <c r="C2" s="17" t="s">
        <v>55</v>
      </c>
      <c r="D2" s="17"/>
      <c r="E2" s="17" t="s">
        <v>56</v>
      </c>
      <c r="F2" s="17"/>
    </row>
    <row r="3" spans="1:6">
      <c r="A3" s="17">
        <f>SUM(Labor_Cost_Forecaster!I2:I7)</f>
        <v>1376.25</v>
      </c>
      <c r="B3" s="17"/>
      <c r="C3" s="17">
        <f>SUM(Labor_Cost_Forecaster!H2:H7) / SUM(Labor_Cost_Forecaster!I2:I7)</f>
        <v>0.20653950953678474</v>
      </c>
      <c r="D3" s="17"/>
      <c r="E3" s="17">
        <f>SUM(Shift_Log_Engine!E2:E50) / SUM(Shift_Log_Engine!D2:D50)</f>
        <v>0.96875</v>
      </c>
      <c r="F3" s="17"/>
    </row>
    <row r="6" spans="1:6">
      <c r="A6" s="1" t="s">
        <v>57</v>
      </c>
      <c r="B6" t="s">
        <v>58</v>
      </c>
      <c r="C6" t="s">
        <v>59</v>
      </c>
      <c r="D6" t="s">
        <v>60</v>
      </c>
    </row>
    <row r="7" spans="1:6">
      <c r="A7" t="s">
        <v>20</v>
      </c>
      <c r="B7" s="8">
        <f>SUMIF(Labor_Cost_Forecaster!$C$2:$C$7, A7, Labor_Cost_Forecaster!$G$2:$G$7)</f>
        <v>564</v>
      </c>
      <c r="C7" s="8">
        <f>SUMIF(Labor_Cost_Forecaster!$C$2:$C$7, A7, Labor_Cost_Forecaster!$H$2:$H$7)</f>
        <v>183</v>
      </c>
      <c r="D7" s="8">
        <f>B7 + C7</f>
        <v>747</v>
      </c>
    </row>
    <row r="8" spans="1:6">
      <c r="A8" t="s">
        <v>24</v>
      </c>
      <c r="B8" s="8">
        <f>SUMIF(Labor_Cost_Forecaster!$C$2:$C$7, A8, Labor_Cost_Forecaster!$G$2:$G$7)</f>
        <v>372</v>
      </c>
      <c r="C8" s="8">
        <f>SUMIF(Labor_Cost_Forecaster!$C$2:$C$7, A8, Labor_Cost_Forecaster!$H$2:$H$7)</f>
        <v>101.25</v>
      </c>
      <c r="D8" s="8">
        <f>B8 + C8</f>
        <v>473.25</v>
      </c>
    </row>
    <row r="9" spans="1:6">
      <c r="A9" t="s">
        <v>16</v>
      </c>
      <c r="B9" s="8">
        <f>SUMIF(Labor_Cost_Forecaster!$C$2:$C$7, A9, Labor_Cost_Forecaster!$G$2:$G$7)</f>
        <v>156</v>
      </c>
      <c r="C9" s="8">
        <f>SUMIF(Labor_Cost_Forecaster!$C$2:$C$7, A9, Labor_Cost_Forecaster!$H$2:$H$7)</f>
        <v>0</v>
      </c>
      <c r="D9" s="8">
        <f>B9 + C9</f>
        <v>156</v>
      </c>
    </row>
    <row r="13" spans="1:6">
      <c r="A13" s="9"/>
      <c r="B13" s="9"/>
      <c r="C13" s="10"/>
      <c r="D13" s="10"/>
      <c r="E13" s="10"/>
      <c r="F13" s="10"/>
    </row>
    <row r="14" spans="1:6">
      <c r="A14" s="9"/>
      <c r="B14" s="9"/>
      <c r="C14" s="10"/>
      <c r="D14" s="10"/>
      <c r="E14" s="10"/>
      <c r="F14" s="10"/>
    </row>
  </sheetData>
  <mergeCells count="7">
    <mergeCell ref="A1:F1"/>
    <mergeCell ref="A2:B2"/>
    <mergeCell ref="A3:B3"/>
    <mergeCell ref="C2:D2"/>
    <mergeCell ref="C3:D3"/>
    <mergeCell ref="E2:F2"/>
    <mergeCell ref="E3:F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Employee_Master</vt:lpstr>
      <vt:lpstr>Shift_Log_Engine</vt:lpstr>
      <vt:lpstr>Labor_Cost_Forecaster</vt:lpstr>
      <vt:lpstr>Workforce_Analytics_Dashboard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Anish Anish</dc:creator>
  <cp:lastModifiedBy>Anish Anish</cp:lastModifiedBy>
  <dcterms:created xsi:type="dcterms:W3CDTF">2026-10-05T07:32:28Z</dcterms:created>
  <dcterms:modified xsi:type="dcterms:W3CDTF">2026-10-05T14:37:00Z</dcterms:modified>
</cp:coreProperties>
</file>